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fsalem\Documents\GitHub\Senior_Project_Dashboard\CasesAFR\"/>
    </mc:Choice>
  </mc:AlternateContent>
  <xr:revisionPtr revIDLastSave="0" documentId="13_ncr:1_{E848BCD1-CFAE-4F57-8C2B-B453C921CB1A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Energy Streams" sheetId="1" r:id="rId1"/>
    <sheet name="Compositions" sheetId="2" r:id="rId2"/>
    <sheet name="Material Streams" sheetId="3" r:id="rId3"/>
    <sheet name="WorkBook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2" l="1"/>
</calcChain>
</file>

<file path=xl/sharedStrings.xml><?xml version="1.0" encoding="utf-8"?>
<sst xmlns="http://schemas.openxmlformats.org/spreadsheetml/2006/main" count="58" uniqueCount="45">
  <si>
    <t>Unit</t>
  </si>
  <si>
    <t>Heat Duty</t>
  </si>
  <si>
    <t>WTurbine</t>
  </si>
  <si>
    <t>Heat Flow</t>
  </si>
  <si>
    <t>kJ/h</t>
  </si>
  <si>
    <t>Air</t>
  </si>
  <si>
    <t>Combustion Gas</t>
  </si>
  <si>
    <t>Flue Gas</t>
  </si>
  <si>
    <t>Controlled OutPut</t>
  </si>
  <si>
    <t>Liquid Out</t>
  </si>
  <si>
    <t>Fuel</t>
  </si>
  <si>
    <t>Liquid Expanded</t>
  </si>
  <si>
    <t>To Gas Combustor</t>
  </si>
  <si>
    <t>Final Product</t>
  </si>
  <si>
    <t>Comp Mole Frac (Methane)</t>
  </si>
  <si>
    <t/>
  </si>
  <si>
    <t>Comp Mole Frac (Propane)</t>
  </si>
  <si>
    <t>Comp Mole Frac (i-Pentane)</t>
  </si>
  <si>
    <t>Comp Mole Frac (i-Butane)</t>
  </si>
  <si>
    <t>Comp Mole Frac (Ethane)</t>
  </si>
  <si>
    <t>Comp Mole Frac (CO)</t>
  </si>
  <si>
    <t>Comp Mole Frac (CO2)</t>
  </si>
  <si>
    <t>Comp Mole Frac (H2O)</t>
  </si>
  <si>
    <t>Comp Mole Frac (Hydrogen)</t>
  </si>
  <si>
    <t>Comp Mole Frac (NO2)</t>
  </si>
  <si>
    <t>Comp Mole Frac (NO)</t>
  </si>
  <si>
    <t>Comp Mole Frac (Oxygen)</t>
  </si>
  <si>
    <t>Comp Mole Frac (Nitrogen)</t>
  </si>
  <si>
    <t>Vapour Fraction</t>
  </si>
  <si>
    <t>Temperature</t>
  </si>
  <si>
    <t>C</t>
  </si>
  <si>
    <t>Pressure</t>
  </si>
  <si>
    <t>kPa</t>
  </si>
  <si>
    <t>Molar Flow</t>
  </si>
  <si>
    <t>kgmole/h</t>
  </si>
  <si>
    <t>Mass Flow</t>
  </si>
  <si>
    <t>kg/h</t>
  </si>
  <si>
    <t>Liquid Volume Flow</t>
  </si>
  <si>
    <t>m3/h</t>
  </si>
  <si>
    <t>Case:</t>
  </si>
  <si>
    <t>c:\Users\s202180910\AppData\Local\Temp\be964386-ba9d-43ed-98e9-30b3f0237f7b_MeetingRelatedfile.zip.f7b\HysysCase.hsc</t>
  </si>
  <si>
    <t>Flowsheet:</t>
  </si>
  <si>
    <t>Main</t>
  </si>
  <si>
    <t>Current Flowsheet Environment:</t>
  </si>
  <si>
    <t>CO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</si>
</sst>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</font>
    <font>
      <i/>
      <sz val="11"/>
      <color indexed="8"/>
      <name val="Calibri"/>
    </font>
    <font>
      <b/>
      <sz val="11"/>
      <color indexed="8"/>
      <name val="Calibri"/>
    </font>
    <font>
      <sz val="11"/>
      <color indexed="12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/>
  </sheetViews>
  <sheetFormatPr defaultColWidth="9.1796875" defaultRowHeight="14.5" x14ac:dyDescent="0.35"/>
  <cols>
    <col min="1" max="1" width="21" style="1" bestFit="1" customWidth="1"/>
    <col min="2" max="16384" width="9.1796875" style="1"/>
  </cols>
  <sheetData>
    <row r="1" spans="1:4" x14ac:dyDescent="0.35">
      <c r="B1" s="2" t="s">
        <v>0</v>
      </c>
      <c r="C1" s="3" t="s">
        <v>1</v>
      </c>
      <c r="D1" s="3" t="s">
        <v>2</v>
      </c>
    </row>
    <row r="3" spans="1:4" x14ac:dyDescent="0.35">
      <c r="A3" s="1" t="s">
        <v>3</v>
      </c>
      <c r="B3" s="2" t="s">
        <v>4</v>
      </c>
      <c r="C3" s="4">
        <v>0</v>
      </c>
      <c r="D3" s="4">
        <v>33395718.422102768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tabSelected="1" workbookViewId="0">
      <selection activeCell="D19" sqref="D19"/>
    </sheetView>
  </sheetViews>
  <sheetFormatPr defaultColWidth="9.1796875" defaultRowHeight="14.5" x14ac:dyDescent="0.35"/>
  <cols>
    <col min="1" max="1" width="21" style="1" bestFit="1" customWidth="1"/>
    <col min="2" max="2" width="9.1796875" style="1"/>
    <col min="3" max="3" width="9.26953125" style="1" bestFit="1" customWidth="1"/>
    <col min="4" max="5" width="12" style="1" bestFit="1" customWidth="1"/>
    <col min="6" max="6" width="9.26953125" style="1" bestFit="1" customWidth="1"/>
    <col min="7" max="7" width="12" style="1" bestFit="1" customWidth="1"/>
    <col min="8" max="8" width="9.26953125" style="1" bestFit="1" customWidth="1"/>
    <col min="9" max="9" width="12" style="1" bestFit="1" customWidth="1"/>
    <col min="10" max="10" width="9.26953125" style="1" bestFit="1" customWidth="1"/>
    <col min="11" max="11" width="12" style="1" bestFit="1" customWidth="1"/>
    <col min="12" max="16384" width="9.1796875" style="1"/>
  </cols>
  <sheetData>
    <row r="1" spans="1:10" x14ac:dyDescent="0.35"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</row>
    <row r="3" spans="1:10" x14ac:dyDescent="0.35">
      <c r="A3" s="1" t="s">
        <v>14</v>
      </c>
      <c r="B3" s="4">
        <v>0</v>
      </c>
      <c r="C3" s="1">
        <v>2.1990886559466858E-20</v>
      </c>
      <c r="D3" s="1">
        <v>2.1990886559466858E-20</v>
      </c>
      <c r="E3" s="1">
        <v>0</v>
      </c>
      <c r="F3" s="1">
        <v>2.1990886559466858E-20</v>
      </c>
      <c r="G3" s="4">
        <v>0.8</v>
      </c>
      <c r="H3" s="1">
        <v>2.1990886559466855E-20</v>
      </c>
      <c r="I3" s="1">
        <v>0.8</v>
      </c>
      <c r="J3" s="1">
        <v>2.1990886559466858E-20</v>
      </c>
    </row>
    <row r="4" spans="1:10" x14ac:dyDescent="0.35">
      <c r="A4" s="1" t="s">
        <v>16</v>
      </c>
      <c r="B4" s="4">
        <v>0</v>
      </c>
      <c r="C4" s="1">
        <v>7.0121719166471783E-39</v>
      </c>
      <c r="D4" s="1">
        <v>7.0121719166471783E-39</v>
      </c>
      <c r="E4" s="1">
        <v>0</v>
      </c>
      <c r="F4" s="1">
        <v>7.0121719166471783E-39</v>
      </c>
      <c r="G4" s="4">
        <v>0.1</v>
      </c>
      <c r="H4" s="1">
        <v>7.0121719166471783E-39</v>
      </c>
      <c r="I4" s="1">
        <v>0.1</v>
      </c>
      <c r="J4" s="1">
        <v>7.0121719166471783E-39</v>
      </c>
    </row>
    <row r="5" spans="1:10" x14ac:dyDescent="0.35">
      <c r="A5" s="1" t="s">
        <v>17</v>
      </c>
      <c r="B5" s="4">
        <v>0</v>
      </c>
      <c r="C5" s="1">
        <v>7.4473971966515166E-42</v>
      </c>
      <c r="D5" s="1">
        <v>7.4473971966515166E-42</v>
      </c>
      <c r="E5" s="1">
        <v>0</v>
      </c>
      <c r="F5" s="1">
        <v>7.4473971966515166E-42</v>
      </c>
      <c r="G5" s="4">
        <v>0.02</v>
      </c>
      <c r="H5" s="1">
        <v>7.4473971966515166E-42</v>
      </c>
      <c r="I5" s="1">
        <v>0.02</v>
      </c>
      <c r="J5" s="1">
        <v>7.4473971966515166E-42</v>
      </c>
    </row>
    <row r="6" spans="1:10" x14ac:dyDescent="0.35">
      <c r="A6" s="1" t="s">
        <v>18</v>
      </c>
      <c r="B6" s="4">
        <v>0</v>
      </c>
      <c r="C6" s="1">
        <v>4.5921205107157199E-39</v>
      </c>
      <c r="D6" s="1">
        <v>4.5921205107157199E-39</v>
      </c>
      <c r="E6" s="1">
        <v>0</v>
      </c>
      <c r="F6" s="1">
        <v>4.5921205107157199E-39</v>
      </c>
      <c r="G6" s="4">
        <v>0.01</v>
      </c>
      <c r="H6" s="1">
        <v>4.5921205107157199E-39</v>
      </c>
      <c r="I6" s="1">
        <v>0.01</v>
      </c>
      <c r="J6" s="1">
        <v>4.5921205107157199E-39</v>
      </c>
    </row>
    <row r="7" spans="1:10" x14ac:dyDescent="0.35">
      <c r="A7" s="1" t="s">
        <v>19</v>
      </c>
      <c r="B7" s="4">
        <v>0</v>
      </c>
      <c r="C7" s="1">
        <v>1.1715312351536785E-38</v>
      </c>
      <c r="D7" s="1">
        <v>1.1715312351536785E-38</v>
      </c>
      <c r="E7" s="1">
        <v>0</v>
      </c>
      <c r="F7" s="1">
        <v>1.1715312351536785E-38</v>
      </c>
      <c r="G7" s="4">
        <v>0.05</v>
      </c>
      <c r="H7" s="1">
        <v>1.1715312351536785E-38</v>
      </c>
      <c r="I7" s="1">
        <v>0.05</v>
      </c>
      <c r="J7" s="1">
        <v>1.1715312351536785E-38</v>
      </c>
    </row>
    <row r="8" spans="1:10" x14ac:dyDescent="0.35">
      <c r="A8" s="1" t="s">
        <v>20</v>
      </c>
      <c r="B8" s="4">
        <v>0</v>
      </c>
      <c r="C8" s="1">
        <v>4.2844854017893972E-4</v>
      </c>
      <c r="D8" s="1">
        <v>4.2844854017893972E-4</v>
      </c>
      <c r="E8" s="1">
        <v>0</v>
      </c>
      <c r="F8" s="1">
        <v>4.2844854017893972E-4</v>
      </c>
      <c r="G8" s="4">
        <v>0</v>
      </c>
      <c r="H8" s="1">
        <v>4.2844854017893972E-4</v>
      </c>
      <c r="I8" s="1">
        <v>0</v>
      </c>
      <c r="J8" s="1">
        <v>4.2844854017893972E-4</v>
      </c>
    </row>
    <row r="9" spans="1:10" x14ac:dyDescent="0.35">
      <c r="A9" s="1" t="s">
        <v>21</v>
      </c>
      <c r="B9" s="4">
        <v>0</v>
      </c>
      <c r="C9" s="1">
        <v>8.6245606985092496E-2</v>
      </c>
      <c r="D9" s="1">
        <v>8.6245606985092496E-2</v>
      </c>
      <c r="E9" s="1">
        <v>0</v>
      </c>
      <c r="F9" s="1">
        <v>8.6245606985092496E-2</v>
      </c>
      <c r="G9" s="4">
        <v>0</v>
      </c>
      <c r="H9" s="1">
        <v>8.6245606985092482E-2</v>
      </c>
      <c r="I9" s="1">
        <v>0</v>
      </c>
      <c r="J9" s="1">
        <v>8.6245606985092496E-2</v>
      </c>
    </row>
    <row r="10" spans="1:10" x14ac:dyDescent="0.35">
      <c r="A10" s="1" t="s">
        <v>22</v>
      </c>
      <c r="B10" s="4">
        <v>0</v>
      </c>
      <c r="C10" s="1">
        <v>0.1511957299977181</v>
      </c>
      <c r="D10" s="1">
        <v>0.1511957299977181</v>
      </c>
      <c r="E10" s="1">
        <v>0</v>
      </c>
      <c r="F10" s="1">
        <v>0.1511957299977181</v>
      </c>
      <c r="G10" s="4">
        <v>0</v>
      </c>
      <c r="H10" s="1">
        <v>0.1511957299977181</v>
      </c>
      <c r="I10" s="1">
        <v>0</v>
      </c>
      <c r="J10" s="1">
        <v>0.1511957299977181</v>
      </c>
    </row>
    <row r="11" spans="1:10" x14ac:dyDescent="0.35">
      <c r="A11" s="1" t="s">
        <v>23</v>
      </c>
      <c r="B11" s="4">
        <v>0</v>
      </c>
      <c r="C11" s="1">
        <v>1.6045651656187255E-4</v>
      </c>
      <c r="D11" s="1">
        <v>1.6045651656187255E-4</v>
      </c>
      <c r="E11" s="1">
        <v>0</v>
      </c>
      <c r="F11" s="1">
        <v>1.6045651656187255E-4</v>
      </c>
      <c r="G11" s="4">
        <v>0.02</v>
      </c>
      <c r="H11" s="1">
        <v>1.6045651656187255E-4</v>
      </c>
      <c r="I11" s="1">
        <v>0.02</v>
      </c>
      <c r="J11" s="1">
        <v>1.6045651656187255E-4</v>
      </c>
    </row>
    <row r="12" spans="1:10" x14ac:dyDescent="0.35">
      <c r="A12" s="1" t="s">
        <v>24</v>
      </c>
      <c r="B12" s="4">
        <v>0</v>
      </c>
      <c r="C12" s="1">
        <v>5.976971233829395E-6</v>
      </c>
      <c r="D12" s="1">
        <v>5.9769712338293942E-6</v>
      </c>
      <c r="E12" s="1">
        <v>0</v>
      </c>
      <c r="F12" s="1">
        <v>5.976971233829395E-6</v>
      </c>
      <c r="G12" s="4">
        <v>0</v>
      </c>
      <c r="H12" s="1">
        <v>5.976971233829395E-6</v>
      </c>
      <c r="I12" s="1">
        <v>0</v>
      </c>
      <c r="J12" s="1">
        <v>5.9769712338293942E-6</v>
      </c>
    </row>
    <row r="13" spans="1:10" x14ac:dyDescent="0.35">
      <c r="A13" s="1" t="s">
        <v>25</v>
      </c>
      <c r="B13" s="4">
        <v>0</v>
      </c>
      <c r="C13" s="1">
        <v>3.6971728890678964E-3</v>
      </c>
      <c r="D13" s="1">
        <v>3.6971728890678964E-3</v>
      </c>
      <c r="E13" s="1">
        <v>0</v>
      </c>
      <c r="F13" s="1">
        <v>3.6971728890678964E-3</v>
      </c>
      <c r="G13" s="4">
        <v>0</v>
      </c>
      <c r="H13" s="1">
        <v>3.6971728890678964E-3</v>
      </c>
      <c r="I13" s="1">
        <v>0</v>
      </c>
      <c r="J13" s="1">
        <v>3.6971728890678964E-3</v>
      </c>
    </row>
    <row r="14" spans="1:10" x14ac:dyDescent="0.35">
      <c r="A14" s="1" t="s">
        <v>26</v>
      </c>
      <c r="B14" s="4">
        <v>0.21</v>
      </c>
      <c r="C14" s="1">
        <v>3.0134133297213657E-2</v>
      </c>
      <c r="D14" s="1">
        <v>3.0134133297213657E-2</v>
      </c>
      <c r="E14" s="1">
        <v>0.21</v>
      </c>
      <c r="F14" s="1">
        <v>3.0134133297213657E-2</v>
      </c>
      <c r="G14" s="4">
        <v>0</v>
      </c>
      <c r="H14" s="1">
        <v>3.0134133297213657E-2</v>
      </c>
      <c r="I14" s="1">
        <v>0</v>
      </c>
      <c r="J14" s="1">
        <v>3.0134133297213657E-2</v>
      </c>
    </row>
    <row r="15" spans="1:10" x14ac:dyDescent="0.35">
      <c r="A15" s="1" t="s">
        <v>27</v>
      </c>
      <c r="B15" s="4">
        <v>0.79</v>
      </c>
      <c r="C15" s="1">
        <v>0.72813247480293319</v>
      </c>
      <c r="D15" s="1">
        <v>0.72813247480293319</v>
      </c>
      <c r="E15" s="1">
        <v>0.78999999999999992</v>
      </c>
      <c r="F15" s="1">
        <v>0.72813247480293319</v>
      </c>
      <c r="G15" s="4">
        <v>0</v>
      </c>
      <c r="H15" s="1">
        <v>0.72813247480293319</v>
      </c>
      <c r="I15" s="1">
        <v>0</v>
      </c>
      <c r="J15" s="1">
        <v>0.72813247480293319</v>
      </c>
    </row>
    <row r="16" spans="1:10" x14ac:dyDescent="0.35">
      <c r="A16" s="1" t="s">
        <v>44</v>
      </c>
      <c r="D16" s="1">
        <f xml:space="preserve"> D8*(10^6)</f>
        <v>428.44854017893971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"/>
  <sheetViews>
    <sheetView workbookViewId="0"/>
  </sheetViews>
  <sheetFormatPr defaultColWidth="9.1796875" defaultRowHeight="14.5" x14ac:dyDescent="0.35"/>
  <cols>
    <col min="1" max="1" width="21" style="1" bestFit="1" customWidth="1"/>
    <col min="2" max="2" width="9.1796875" style="1"/>
    <col min="3" max="3" width="9.26953125" style="1" bestFit="1" customWidth="1"/>
    <col min="4" max="5" width="11.7265625" style="1" bestFit="1" customWidth="1"/>
    <col min="6" max="7" width="9.26953125" style="1" bestFit="1" customWidth="1"/>
    <col min="8" max="8" width="11.7265625" style="1" bestFit="1" customWidth="1"/>
    <col min="9" max="9" width="9.26953125" style="1" bestFit="1" customWidth="1"/>
    <col min="10" max="11" width="11.7265625" style="1" bestFit="1" customWidth="1"/>
    <col min="12" max="16384" width="9.1796875" style="1"/>
  </cols>
  <sheetData>
    <row r="1" spans="1:11" x14ac:dyDescent="0.35">
      <c r="B1" s="2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</row>
    <row r="3" spans="1:11" x14ac:dyDescent="0.35">
      <c r="A3" s="1" t="s">
        <v>28</v>
      </c>
      <c r="B3" s="2" t="s">
        <v>15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</row>
    <row r="4" spans="1:11" x14ac:dyDescent="0.35">
      <c r="A4" s="1" t="s">
        <v>29</v>
      </c>
      <c r="B4" s="2" t="s">
        <v>30</v>
      </c>
      <c r="C4" s="4">
        <v>40</v>
      </c>
      <c r="D4" s="1">
        <v>1810.8220081610052</v>
      </c>
      <c r="E4" s="1">
        <v>1554.6902417181113</v>
      </c>
      <c r="F4" s="1">
        <v>39.974978804632769</v>
      </c>
      <c r="G4" s="1">
        <v>1810.8220081610052</v>
      </c>
      <c r="H4" s="4">
        <v>40</v>
      </c>
      <c r="I4" s="1">
        <v>1810.8340359153285</v>
      </c>
      <c r="J4" s="1">
        <v>39.938750788731738</v>
      </c>
      <c r="K4" s="1">
        <v>1554.6954361411294</v>
      </c>
    </row>
    <row r="5" spans="1:11" x14ac:dyDescent="0.35">
      <c r="A5" s="1" t="s">
        <v>31</v>
      </c>
      <c r="B5" s="2" t="s">
        <v>32</v>
      </c>
      <c r="C5" s="4">
        <v>1000</v>
      </c>
      <c r="D5" s="1">
        <v>989.52630914091674</v>
      </c>
      <c r="E5" s="1">
        <v>415.22602485452097</v>
      </c>
      <c r="F5" s="1">
        <v>989.52630914091674</v>
      </c>
      <c r="G5" s="1">
        <v>989.52630914091674</v>
      </c>
      <c r="H5" s="4">
        <v>1000</v>
      </c>
      <c r="I5" s="4">
        <v>960</v>
      </c>
      <c r="J5" s="1">
        <v>989.52630914091674</v>
      </c>
      <c r="K5" s="4">
        <v>400</v>
      </c>
    </row>
    <row r="6" spans="1:11" x14ac:dyDescent="0.35">
      <c r="A6" s="1" t="s">
        <v>33</v>
      </c>
      <c r="B6" s="2" t="s">
        <v>34</v>
      </c>
      <c r="C6" s="1">
        <v>2922.6173994588758</v>
      </c>
      <c r="D6" s="1">
        <v>3152.6211175847347</v>
      </c>
      <c r="E6" s="1">
        <v>3152.6211175847347</v>
      </c>
      <c r="F6" s="1">
        <v>2922.6173994588758</v>
      </c>
      <c r="G6" s="1">
        <v>10.280518987763729</v>
      </c>
      <c r="H6" s="1">
        <v>204.58321796211825</v>
      </c>
      <c r="I6" s="1">
        <v>10.280518987763729</v>
      </c>
      <c r="J6" s="1">
        <v>204.58321796211825</v>
      </c>
      <c r="K6" s="1">
        <v>3152.6211175847347</v>
      </c>
    </row>
    <row r="7" spans="1:11" x14ac:dyDescent="0.35">
      <c r="A7" s="1" t="s">
        <v>35</v>
      </c>
      <c r="B7" s="2" t="s">
        <v>36</v>
      </c>
      <c r="C7" s="1">
        <v>84318.302208463254</v>
      </c>
      <c r="D7" s="1">
        <v>88287.434076130259</v>
      </c>
      <c r="E7" s="1">
        <v>88287.434076129764</v>
      </c>
      <c r="F7" s="1">
        <v>84318.302208463254</v>
      </c>
      <c r="G7" s="1">
        <v>287.90032438022598</v>
      </c>
      <c r="H7" s="1">
        <v>4257.8053946125365</v>
      </c>
      <c r="I7" s="1">
        <v>287.90032438022598</v>
      </c>
      <c r="J7" s="1">
        <v>4257.8053946125365</v>
      </c>
      <c r="K7" s="1">
        <v>88287.434076129764</v>
      </c>
    </row>
    <row r="8" spans="1:11" x14ac:dyDescent="0.35">
      <c r="A8" s="1" t="s">
        <v>37</v>
      </c>
      <c r="B8" s="2" t="s">
        <v>38</v>
      </c>
      <c r="C8" s="1">
        <v>97.472017194728878</v>
      </c>
      <c r="D8" s="1">
        <v>110.48676260453753</v>
      </c>
      <c r="E8" s="1">
        <v>110.4867626048072</v>
      </c>
      <c r="F8" s="1">
        <v>97.472017194728863</v>
      </c>
      <c r="G8" s="1">
        <v>0.36029107795950127</v>
      </c>
      <c r="H8" s="1">
        <v>12.218516593127594</v>
      </c>
      <c r="I8" s="1">
        <v>0.36029107795950127</v>
      </c>
      <c r="J8" s="1">
        <v>12.218516593127594</v>
      </c>
      <c r="K8" s="1">
        <v>110.4867626048072</v>
      </c>
    </row>
    <row r="9" spans="1:11" x14ac:dyDescent="0.35">
      <c r="A9" s="1" t="s">
        <v>3</v>
      </c>
      <c r="B9" s="2" t="s">
        <v>4</v>
      </c>
      <c r="C9" s="1">
        <v>1069100.6041782305</v>
      </c>
      <c r="D9" s="1">
        <v>-14961374.490198569</v>
      </c>
      <c r="E9" s="1">
        <v>-48357092.912319146</v>
      </c>
      <c r="F9" s="1">
        <v>1069100.6041782305</v>
      </c>
      <c r="G9" s="1">
        <v>-48788.19521683651</v>
      </c>
      <c r="H9" s="1">
        <v>-16079263.289600369</v>
      </c>
      <c r="I9" s="1">
        <v>-48788.195216856744</v>
      </c>
      <c r="J9" s="1">
        <v>-16079263.289600369</v>
      </c>
      <c r="K9" s="1">
        <v>-48357092.912319146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defaultColWidth="9.1796875" defaultRowHeight="14.5" x14ac:dyDescent="0.35"/>
  <cols>
    <col min="1" max="1" width="21" style="1" bestFit="1" customWidth="1"/>
    <col min="2" max="16384" width="9.1796875" style="1"/>
  </cols>
  <sheetData>
    <row r="1" spans="1:2" x14ac:dyDescent="0.35">
      <c r="A1" s="3" t="s">
        <v>39</v>
      </c>
      <c r="B1" s="1" t="s">
        <v>40</v>
      </c>
    </row>
    <row r="2" spans="1:2" x14ac:dyDescent="0.35">
      <c r="A2" s="3" t="s">
        <v>41</v>
      </c>
      <c r="B2" s="1" t="s">
        <v>42</v>
      </c>
    </row>
    <row r="3" spans="1:2" x14ac:dyDescent="0.35">
      <c r="A3" s="3" t="s">
        <v>43</v>
      </c>
      <c r="B3" s="1" t="s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Energy Streams</vt:lpstr>
      <vt:lpstr>Compositions</vt:lpstr>
      <vt:lpstr>Material Streams</vt:lpstr>
      <vt:lpstr>WorkBook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 MUBAREK ALMUTLAQ</dc:creator>
  <cp:lastModifiedBy>Ahmad Fathi Abdullah Ahmed Salem</cp:lastModifiedBy>
  <dcterms:created xsi:type="dcterms:W3CDTF">2026-04-02T07:13:04Z</dcterms:created>
  <dcterms:modified xsi:type="dcterms:W3CDTF">2026-04-12T13:21:03Z</dcterms:modified>
</cp:coreProperties>
</file>